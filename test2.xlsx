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S:\Michal\Kontajnery\VM\Colombia\La providencia\Demerara\"/>
    </mc:Choice>
  </mc:AlternateContent>
  <xr:revisionPtr revIDLastSave="0" documentId="8_{543EC99D-EFB8-4127-9DD2-80AF07526784}" xr6:coauthVersionLast="47" xr6:coauthVersionMax="47" xr10:uidLastSave="{00000000-0000-0000-0000-000000000000}"/>
  <bookViews>
    <workbookView xWindow="-60" yWindow="405" windowWidth="26400" windowHeight="8265" xr2:uid="{00000000-000D-0000-FFFF-FFFF00000000}"/>
  </bookViews>
  <sheets>
    <sheet name="Blad1" sheetId="1" r:id="rId1"/>
  </sheets>
  <definedNames>
    <definedName name="_xlnm._FilterDatabase" localSheetId="0" hidden="1">Blad1!$A$14:$AF$14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6" i="1" l="1"/>
  <c r="AA16" i="1" s="1"/>
  <c r="T16" i="1"/>
  <c r="Z15" i="1"/>
  <c r="AA15" i="1" s="1"/>
  <c r="T15" i="1"/>
</calcChain>
</file>

<file path=xl/sharedStrings.xml><?xml version="1.0" encoding="utf-8"?>
<sst xmlns="http://schemas.openxmlformats.org/spreadsheetml/2006/main" count="94" uniqueCount="71">
  <si>
    <t>CONTAINER DETAILS</t>
  </si>
  <si>
    <t>CONTENT DETAILS</t>
  </si>
  <si>
    <t>TRANSPORT DETAILS</t>
  </si>
  <si>
    <t>Nr.</t>
  </si>
  <si>
    <t>B/L</t>
  </si>
  <si>
    <t>Carrier</t>
  </si>
  <si>
    <t>Vessel</t>
  </si>
  <si>
    <t>Pin code</t>
  </si>
  <si>
    <t>Unloading address</t>
  </si>
  <si>
    <t>Empty drop off address</t>
  </si>
  <si>
    <t>Empty ref. in</t>
  </si>
  <si>
    <t>E D &amp; F Man Ingredients s.r.o.</t>
  </si>
  <si>
    <t>Czech Republic</t>
  </si>
  <si>
    <t>VAT: 04687311</t>
  </si>
  <si>
    <t>ORDER REFERENCE</t>
  </si>
  <si>
    <t>Latest pick-up date</t>
  </si>
  <si>
    <t>CNT type</t>
  </si>
  <si>
    <t>CNT number</t>
  </si>
  <si>
    <t>IMO / IMDG</t>
  </si>
  <si>
    <t>ADR</t>
  </si>
  <si>
    <t>INBOUND CONTAINER TRANSPORT &amp; WAREHOUSE ORDER</t>
  </si>
  <si>
    <t>Put on CP1/EPAL</t>
  </si>
  <si>
    <t>Van Moer Transport NV - Vitshoekstraat 11 - 2070 Zwijndrecht - Belgium - BTW BE 0861.669.311</t>
  </si>
  <si>
    <t>Van Moer Rail NV - Vitshoekstraat 11 - 2070 Zwijndrecht - Belgium - BTW BE 0466.169.330</t>
  </si>
  <si>
    <t>Sugar product        (25kg - 50 kg - BB)</t>
  </si>
  <si>
    <t>ETA</t>
  </si>
  <si>
    <t>Detention free time (in days)</t>
  </si>
  <si>
    <t>Earliest pick-up date</t>
  </si>
  <si>
    <t>Product</t>
  </si>
  <si>
    <t>Purchase contract</t>
  </si>
  <si>
    <t>Supplier</t>
  </si>
  <si>
    <t>Quantity (MT) per FCL</t>
  </si>
  <si>
    <t>Number of bags</t>
  </si>
  <si>
    <t>Port of Load</t>
  </si>
  <si>
    <t>Port of destination</t>
  </si>
  <si>
    <t>Crop year</t>
  </si>
  <si>
    <t>Lot Nr. 1</t>
  </si>
  <si>
    <t>Lot Nr. 2</t>
  </si>
  <si>
    <t>Origin</t>
  </si>
  <si>
    <t>EXTRA INFO</t>
  </si>
  <si>
    <t>Article number</t>
  </si>
  <si>
    <t>Covers ?</t>
  </si>
  <si>
    <t>Shipping company</t>
  </si>
  <si>
    <t xml:space="preserve">Extra info / requests </t>
  </si>
  <si>
    <t>Blocking Code</t>
  </si>
  <si>
    <t>NO</t>
  </si>
  <si>
    <t>Van Moer Warehouse Quay 1143</t>
  </si>
  <si>
    <t>See attached file</t>
  </si>
  <si>
    <t>FREE</t>
  </si>
  <si>
    <t>storage free time (in days)</t>
  </si>
  <si>
    <t>CP1</t>
  </si>
  <si>
    <t>VM</t>
  </si>
  <si>
    <t>Antwerp</t>
  </si>
  <si>
    <t>BUENAVENTURA</t>
  </si>
  <si>
    <t>COLOMBIA</t>
  </si>
  <si>
    <t>LA PROVIDENCIA</t>
  </si>
  <si>
    <t>25kg</t>
  </si>
  <si>
    <t>ED&amp;F28</t>
  </si>
  <si>
    <t>Organic Demerara Cane Sugar</t>
  </si>
  <si>
    <t>Evropská 846</t>
  </si>
  <si>
    <t>16000 Praha</t>
  </si>
  <si>
    <t>40'</t>
  </si>
  <si>
    <t>P01461</t>
  </si>
  <si>
    <t>MSC</t>
  </si>
  <si>
    <t>SCR</t>
  </si>
  <si>
    <t>MEDUE5342153</t>
  </si>
  <si>
    <t>MSC PROCIDA</t>
  </si>
  <si>
    <t>UETU8320614</t>
  </si>
  <si>
    <t>MSNU-8043945</t>
  </si>
  <si>
    <t>L425-2026 - 311 Bags, L296-2026 - 382 bags, L288-2026 - 301 bags, L291-2026 - 66 bags</t>
  </si>
  <si>
    <t>L094-2026 - 22 bags, L425-2026 - 77 bags, L231-2026 - 289 bags, L291-2026 - 660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</si>
</sst>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b/>
      <sz val="20"/>
      <color rgb="FF192857"/>
      <name val="Arial"/>
      <family val="2"/>
    </font>
    <font>
      <sz val="9"/>
      <color theme="1"/>
      <name val="Calibri"/>
      <family val="2"/>
      <scheme val="minor"/>
    </font>
    <font>
      <b/>
      <sz val="11"/>
      <color theme="0" tint="-0.499984740745262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222221"/>
      <name val="Arial"/>
      <family val="2"/>
      <charset val="238"/>
    </font>
    <font>
      <sz val="11"/>
      <color rgb="FF000000"/>
      <name val="Calibri"/>
      <family val="2"/>
      <charset val="238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1" xfId="0" applyFill="1" applyBorder="1" applyAlignment="1">
      <alignment horizontal="left"/>
    </xf>
    <xf numFmtId="0" fontId="3" fillId="0" borderId="0" xfId="0" applyFont="1" applyAlignment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wrapText="1"/>
    </xf>
    <xf numFmtId="0" fontId="7" fillId="0" borderId="1" xfId="0" applyFont="1" applyBorder="1"/>
    <xf numFmtId="0" fontId="5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/>
    </xf>
    <xf numFmtId="14" fontId="0" fillId="0" borderId="1" xfId="0" applyNumberFormat="1" applyBorder="1"/>
    <xf numFmtId="0" fontId="9" fillId="0" borderId="1" xfId="0" applyFont="1" applyBorder="1"/>
    <xf numFmtId="14" fontId="0" fillId="6" borderId="1" xfId="0" quotePrefix="1" applyNumberFormat="1" applyFill="1" applyBorder="1"/>
    <xf numFmtId="0" fontId="10" fillId="0" borderId="1" xfId="0" applyFont="1" applyBorder="1"/>
    <xf numFmtId="0" fontId="6" fillId="5" borderId="10" xfId="0" applyFont="1" applyFill="1" applyBorder="1" applyAlignment="1">
      <alignment horizontal="left"/>
    </xf>
    <xf numFmtId="0" fontId="6" fillId="5" borderId="11" xfId="0" applyFont="1" applyFill="1" applyBorder="1" applyAlignment="1">
      <alignment horizontal="left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</cellXfs>
  <cellStyles count="4">
    <cellStyle name="Comma 2" xfId="1" xr:uid="{00000000-0005-0000-0000-000000000000}"/>
    <cellStyle name="Comma 2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</xdr:row>
      <xdr:rowOff>0</xdr:rowOff>
    </xdr:from>
    <xdr:to>
      <xdr:col>16</xdr:col>
      <xdr:colOff>456202</xdr:colOff>
      <xdr:row>51</xdr:row>
      <xdr:rowOff>104000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BDD848-AC6C-742C-6EE3-5499E3072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4305300"/>
          <a:ext cx="7980952" cy="6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48552"/>
  <sheetViews>
    <sheetView tabSelected="1" topLeftCell="A14" zoomScaleNormal="100" workbookViewId="0">
      <selection activeCell="B15" sqref="B15"/>
    </sheetView>
  </sheetViews>
  <sheetFormatPr defaultRowHeight="15" x14ac:dyDescent="0.25"/>
  <cols>
    <col min="1" max="1" width="3.5703125" customWidth="1"/>
    <col min="2" max="2" width="17.28515625" customWidth="1"/>
    <col min="3" max="3" width="6.42578125" customWidth="1"/>
    <col min="4" max="4" width="22.42578125" bestFit="1" customWidth="1"/>
    <col min="5" max="5" width="4.140625" customWidth="1"/>
    <col min="6" max="6" width="13.5703125" customWidth="1"/>
    <col min="7" max="7" width="7.28515625" style="18" customWidth="1"/>
    <col min="8" max="8" width="15.7109375" bestFit="1" customWidth="1"/>
    <col min="9" max="9" width="10.42578125" customWidth="1"/>
    <col min="10" max="10" width="4.7109375" customWidth="1"/>
    <col min="11" max="11" width="6.140625" customWidth="1"/>
    <col min="12" max="12" width="7.85546875" customWidth="1"/>
    <col min="13" max="13" width="30.42578125" customWidth="1"/>
    <col min="14" max="14" width="7" customWidth="1"/>
    <col min="15" max="15" width="8" customWidth="1"/>
    <col min="16" max="16" width="15.28515625" bestFit="1" customWidth="1"/>
    <col min="17" max="17" width="10.5703125" bestFit="1" customWidth="1"/>
    <col min="18" max="18" width="16" bestFit="1" customWidth="1"/>
    <col min="19" max="19" width="8.85546875" customWidth="1"/>
    <col min="20" max="20" width="15.5703125" customWidth="1"/>
    <col min="21" max="21" width="43.85546875" bestFit="1" customWidth="1"/>
    <col min="22" max="22" width="14.42578125" customWidth="1"/>
    <col min="23" max="23" width="15.140625" bestFit="1" customWidth="1"/>
    <col min="24" max="24" width="15" customWidth="1"/>
    <col min="25" max="25" width="10.7109375" bestFit="1" customWidth="1"/>
    <col min="26" max="26" width="17.5703125" bestFit="1" customWidth="1"/>
    <col min="27" max="27" width="16" bestFit="1" customWidth="1"/>
    <col min="28" max="28" width="24.7109375" style="13" bestFit="1" customWidth="1"/>
    <col min="29" max="29" width="24.7109375" style="13" customWidth="1"/>
    <col min="30" max="30" width="27.140625" customWidth="1"/>
    <col min="31" max="31" width="20.7109375" customWidth="1"/>
    <col min="32" max="32" width="20.85546875" customWidth="1"/>
    <col min="33" max="33" width="12" customWidth="1"/>
    <col min="34" max="34" width="30.28515625" bestFit="1" customWidth="1"/>
    <col min="35" max="35" width="17.42578125" bestFit="1" customWidth="1"/>
  </cols>
  <sheetData>
    <row r="1" spans="1:35" ht="26.25" x14ac:dyDescent="0.25">
      <c r="A1" s="1" t="s">
        <v>20</v>
      </c>
    </row>
    <row r="2" spans="1:35" x14ac:dyDescent="0.25">
      <c r="A2" s="11" t="s">
        <v>22</v>
      </c>
    </row>
    <row r="3" spans="1:35" x14ac:dyDescent="0.25">
      <c r="A3" s="11" t="s">
        <v>23</v>
      </c>
    </row>
    <row r="4" spans="1:35" x14ac:dyDescent="0.25">
      <c r="A4" s="11"/>
    </row>
    <row r="5" spans="1:35" x14ac:dyDescent="0.25">
      <c r="A5" s="2" t="s">
        <v>11</v>
      </c>
      <c r="B5" s="3"/>
      <c r="C5" s="3"/>
      <c r="D5" s="3"/>
      <c r="E5" s="3"/>
      <c r="F5" s="3"/>
      <c r="G5" s="1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14"/>
      <c r="AC5" s="14"/>
      <c r="AD5" s="3"/>
      <c r="AE5" s="3"/>
      <c r="AF5" s="4"/>
    </row>
    <row r="6" spans="1:35" x14ac:dyDescent="0.25">
      <c r="A6" s="5" t="s">
        <v>59</v>
      </c>
      <c r="AF6" s="6"/>
    </row>
    <row r="7" spans="1:35" x14ac:dyDescent="0.25">
      <c r="A7" s="5" t="s">
        <v>60</v>
      </c>
      <c r="AF7" s="6"/>
    </row>
    <row r="8" spans="1:35" x14ac:dyDescent="0.25">
      <c r="A8" s="5" t="s">
        <v>12</v>
      </c>
      <c r="AF8" s="6"/>
    </row>
    <row r="9" spans="1:35" x14ac:dyDescent="0.25">
      <c r="A9" s="7" t="s">
        <v>13</v>
      </c>
      <c r="B9" s="8"/>
      <c r="C9" s="8"/>
      <c r="D9" s="8"/>
      <c r="E9" s="8"/>
      <c r="F9" s="8"/>
      <c r="G9" s="1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15"/>
      <c r="AC9" s="15"/>
      <c r="AD9" s="8"/>
      <c r="AE9" s="8"/>
      <c r="AF9" s="9"/>
    </row>
    <row r="11" spans="1:35" x14ac:dyDescent="0.25">
      <c r="A11" s="34" t="s">
        <v>14</v>
      </c>
      <c r="B11" s="34"/>
      <c r="C11" s="34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3" spans="1:35" x14ac:dyDescent="0.25">
      <c r="A13" s="36" t="s">
        <v>0</v>
      </c>
      <c r="B13" s="37"/>
      <c r="C13" s="37"/>
      <c r="D13" s="37"/>
      <c r="E13" s="37"/>
      <c r="F13" s="38"/>
      <c r="G13" s="19"/>
      <c r="H13" s="10"/>
      <c r="I13" s="10"/>
      <c r="J13" s="36" t="s">
        <v>1</v>
      </c>
      <c r="K13" s="37"/>
      <c r="L13" s="37"/>
      <c r="M13" s="37"/>
      <c r="N13" s="37"/>
      <c r="O13" s="37"/>
      <c r="P13" s="37"/>
      <c r="Q13" s="37"/>
      <c r="R13" s="37"/>
      <c r="S13" s="37"/>
      <c r="T13" s="38"/>
      <c r="U13" s="10"/>
      <c r="V13" s="10"/>
      <c r="W13" s="36" t="s">
        <v>2</v>
      </c>
      <c r="X13" s="37"/>
      <c r="Y13" s="37"/>
      <c r="Z13" s="37"/>
      <c r="AA13" s="37"/>
      <c r="AB13" s="37"/>
      <c r="AC13" s="37"/>
      <c r="AD13" s="37"/>
      <c r="AE13" s="37"/>
      <c r="AF13" s="38"/>
      <c r="AG13" s="32" t="s">
        <v>39</v>
      </c>
      <c r="AH13" s="33"/>
      <c r="AI13" s="33"/>
    </row>
    <row r="14" spans="1:35" ht="57.75" customHeight="1" x14ac:dyDescent="0.25">
      <c r="A14" s="12" t="s">
        <v>3</v>
      </c>
      <c r="B14" s="12" t="s">
        <v>4</v>
      </c>
      <c r="C14" s="12" t="s">
        <v>5</v>
      </c>
      <c r="D14" s="12" t="s">
        <v>6</v>
      </c>
      <c r="E14" s="12" t="s">
        <v>16</v>
      </c>
      <c r="F14" s="12" t="s">
        <v>17</v>
      </c>
      <c r="G14" s="12" t="s">
        <v>31</v>
      </c>
      <c r="H14" s="12" t="s">
        <v>33</v>
      </c>
      <c r="I14" s="12" t="s">
        <v>34</v>
      </c>
      <c r="J14" s="12" t="s">
        <v>19</v>
      </c>
      <c r="K14" s="12" t="s">
        <v>18</v>
      </c>
      <c r="L14" s="25" t="s">
        <v>40</v>
      </c>
      <c r="M14" s="12" t="s">
        <v>28</v>
      </c>
      <c r="N14" s="12" t="s">
        <v>24</v>
      </c>
      <c r="O14" s="12" t="s">
        <v>32</v>
      </c>
      <c r="P14" s="12" t="s">
        <v>29</v>
      </c>
      <c r="Q14" s="12" t="s">
        <v>38</v>
      </c>
      <c r="R14" s="12" t="s">
        <v>30</v>
      </c>
      <c r="S14" s="12" t="s">
        <v>35</v>
      </c>
      <c r="T14" s="12" t="s">
        <v>36</v>
      </c>
      <c r="U14" s="12" t="s">
        <v>37</v>
      </c>
      <c r="V14" s="26" t="s">
        <v>21</v>
      </c>
      <c r="W14" s="12" t="s">
        <v>7</v>
      </c>
      <c r="X14" s="25" t="s">
        <v>42</v>
      </c>
      <c r="Y14" s="12" t="s">
        <v>25</v>
      </c>
      <c r="Z14" s="12" t="s">
        <v>27</v>
      </c>
      <c r="AA14" s="12" t="s">
        <v>15</v>
      </c>
      <c r="AB14" s="12" t="s">
        <v>49</v>
      </c>
      <c r="AC14" s="12" t="s">
        <v>26</v>
      </c>
      <c r="AD14" s="12" t="s">
        <v>8</v>
      </c>
      <c r="AE14" s="12" t="s">
        <v>9</v>
      </c>
      <c r="AF14" s="12" t="s">
        <v>10</v>
      </c>
      <c r="AG14" s="25" t="s">
        <v>44</v>
      </c>
      <c r="AH14" s="25" t="s">
        <v>41</v>
      </c>
      <c r="AI14" s="25" t="s">
        <v>43</v>
      </c>
    </row>
    <row r="15" spans="1:35" x14ac:dyDescent="0.25">
      <c r="A15" s="20">
        <v>1</v>
      </c>
      <c r="B15" s="20" t="s">
        <v>65</v>
      </c>
      <c r="C15" s="20" t="s">
        <v>51</v>
      </c>
      <c r="D15" s="31" t="s">
        <v>66</v>
      </c>
      <c r="E15" s="20" t="s">
        <v>61</v>
      </c>
      <c r="F15" s="29" t="s">
        <v>67</v>
      </c>
      <c r="G15" s="21">
        <v>26.5</v>
      </c>
      <c r="H15" s="20" t="s">
        <v>53</v>
      </c>
      <c r="I15" s="20" t="s">
        <v>52</v>
      </c>
      <c r="J15" s="20" t="s">
        <v>45</v>
      </c>
      <c r="K15" s="20" t="s">
        <v>45</v>
      </c>
      <c r="L15" s="24" t="s">
        <v>57</v>
      </c>
      <c r="M15" s="20" t="s">
        <v>58</v>
      </c>
      <c r="N15" s="20" t="s">
        <v>56</v>
      </c>
      <c r="O15" s="22">
        <v>1060</v>
      </c>
      <c r="P15" s="20" t="s">
        <v>62</v>
      </c>
      <c r="Q15" s="20" t="s">
        <v>54</v>
      </c>
      <c r="R15" s="20" t="s">
        <v>55</v>
      </c>
      <c r="S15" s="22">
        <v>2026</v>
      </c>
      <c r="T15" s="20" t="str">
        <f>F15</f>
        <v>UETU8320614</v>
      </c>
      <c r="U15" s="30" t="s">
        <v>69</v>
      </c>
      <c r="V15" s="24" t="s">
        <v>50</v>
      </c>
      <c r="W15" s="20" t="s">
        <v>64</v>
      </c>
      <c r="X15" s="20" t="s">
        <v>63</v>
      </c>
      <c r="Y15" s="28">
        <v>46296</v>
      </c>
      <c r="Z15" s="28">
        <f>Y15</f>
        <v>46296</v>
      </c>
      <c r="AA15" s="28">
        <f>Z15+4</f>
        <v>46300</v>
      </c>
      <c r="AB15" s="22">
        <v>5</v>
      </c>
      <c r="AC15" s="22">
        <v>4</v>
      </c>
      <c r="AD15" s="23" t="s">
        <v>46</v>
      </c>
      <c r="AE15" s="23" t="s">
        <v>47</v>
      </c>
      <c r="AF15" s="23" t="s">
        <v>47</v>
      </c>
      <c r="AG15" s="27"/>
      <c r="AH15" s="22"/>
      <c r="AI15" s="20" t="s">
        <v>48</v>
      </c>
    </row>
    <row r="16" spans="1:35" x14ac:dyDescent="0.25">
      <c r="A16" s="20">
        <v>2</v>
      </c>
      <c r="B16" s="20" t="s">
        <v>65</v>
      </c>
      <c r="C16" s="20" t="s">
        <v>51</v>
      </c>
      <c r="D16" s="31" t="s">
        <v>66</v>
      </c>
      <c r="E16" s="20" t="s">
        <v>61</v>
      </c>
      <c r="F16" s="29" t="s">
        <v>68</v>
      </c>
      <c r="G16" s="21">
        <v>26.2</v>
      </c>
      <c r="H16" s="20" t="s">
        <v>53</v>
      </c>
      <c r="I16" s="20" t="s">
        <v>52</v>
      </c>
      <c r="J16" s="20" t="s">
        <v>45</v>
      </c>
      <c r="K16" s="20" t="s">
        <v>45</v>
      </c>
      <c r="L16" s="24" t="s">
        <v>57</v>
      </c>
      <c r="M16" s="20" t="s">
        <v>58</v>
      </c>
      <c r="N16" s="20" t="s">
        <v>56</v>
      </c>
      <c r="O16" s="22">
        <v>1048</v>
      </c>
      <c r="P16" s="20" t="s">
        <v>62</v>
      </c>
      <c r="Q16" s="20" t="s">
        <v>54</v>
      </c>
      <c r="R16" s="20" t="s">
        <v>55</v>
      </c>
      <c r="S16" s="22">
        <v>2026</v>
      </c>
      <c r="T16" s="20" t="str">
        <f>F16</f>
        <v>MSNU-8043945</v>
      </c>
      <c r="U16" s="30" t="s">
        <v>70</v>
      </c>
      <c r="V16" s="24" t="s">
        <v>50</v>
      </c>
      <c r="W16" s="20" t="s">
        <v>64</v>
      </c>
      <c r="X16" s="20" t="s">
        <v>63</v>
      </c>
      <c r="Y16" s="28">
        <v>46296</v>
      </c>
      <c r="Z16" s="28">
        <f>Y16</f>
        <v>46296</v>
      </c>
      <c r="AA16" s="28">
        <f>Z16+4</f>
        <v>46300</v>
      </c>
      <c r="AB16" s="22">
        <v>5</v>
      </c>
      <c r="AC16" s="22">
        <v>4</v>
      </c>
      <c r="AD16" s="23" t="s">
        <v>46</v>
      </c>
      <c r="AE16" s="23" t="s">
        <v>47</v>
      </c>
      <c r="AF16" s="23" t="s">
        <v>47</v>
      </c>
      <c r="AG16" s="27"/>
      <c r="AH16" s="22"/>
      <c r="AI16" s="20" t="s">
        <v>48</v>
      </c>
    </row>
    <row r="1048552" spans="17:17" x14ac:dyDescent="0.25">
      <c r="Q1048552" s="20"/>
    </row>
  </sheetData>
  <mergeCells count="6">
    <mergeCell ref="AG13:AI13"/>
    <mergeCell ref="A11:C11"/>
    <mergeCell ref="D11:AF11"/>
    <mergeCell ref="A13:F13"/>
    <mergeCell ref="J13:T13"/>
    <mergeCell ref="W13:AF13"/>
  </mergeCells>
  <phoneticPr fontId="11" type="noConversion"/>
  <pageMargins left="0.23622047244094491" right="0.23622047244094491" top="0.23622047244094491" bottom="0.7086614173228347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Felien Van Oost</dc:creator>
  <cp:lastModifiedBy>HONC, Michal (Man ING)</cp:lastModifiedBy>
  <cp:lastPrinted>2018-11-07T16:07:11Z</cp:lastPrinted>
  <dcterms:created xsi:type="dcterms:W3CDTF">2018-11-07T15:19:13Z</dcterms:created>
  <dcterms:modified xsi:type="dcterms:W3CDTF">2026-09-23T06:45:46Z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